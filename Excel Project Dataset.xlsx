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youss\Documents\sql projects\excel\"/>
    </mc:Choice>
  </mc:AlternateContent>
  <xr:revisionPtr revIDLastSave="0" documentId="13_ncr:1_{4EF73F4D-48B5-4EFE-A6BE-E06A0981EBEC}" xr6:coauthVersionLast="47" xr6:coauthVersionMax="47" xr10:uidLastSave="{00000000-0000-0000-0000-000000000000}"/>
  <bookViews>
    <workbookView xWindow="1170" yWindow="-110" windowWidth="18140" windowHeight="11020"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43" i="4" l="1"/>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<sst xmlns="http://schemas.openxmlformats.org/spreadsheetml/2006/main" count="16267" uniqueCount="51">
  <si>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</si>
  <si>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</si>
  <si>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</si>
  <si>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</si>
  <si>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</si>
  <si>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</si>
  <si>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</si>
  <si>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</si>
  <si>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</si>
  <si>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</si>
  <si>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</si>
  <si>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</si>
  <si>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</si>
  <si>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</si>
  <si>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</si>
  <si>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</si>
  <si>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</si>
  <si>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</si>
  <si>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</si>
  <si>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</si>
  <si>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</si>
  <si>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</si>
  <si>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</si>
  <si>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</si>
  <si>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</si>
  <si>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</si>
  <si>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</si>
  <si>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</si>
  <si>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</si>
  <si>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</si>
  <si>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</si>
  <si>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</si>
  <si>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</si>
  <si>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</si>
  <si>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</si>
  <si>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</si>
  <si>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</si>
  <si>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</si>
  <si>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</si>
  <si>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</si>
  <si>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</si>
  <si>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</si>
  <si>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</si>
  <si>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</si>
  <si>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</si>
  <si>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</si>
  <si>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</si>
  <si>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</si>
  <si>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</si>
  <si>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 xml:space="preserve">                        Bike Sales Dashboard</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</si>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</sst>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vertical="center"/>
    </xf>
    <xf numFmtId="0" fontId="0" fillId="33" borderId="0" xfId="0" applyFill="1"/>
    <xf numFmtId="0" fontId="0" fillId="34" borderId="0" xfId="0" applyFill="1"/>
    <xf numFmtId="0" fontId="19" fillId="33" borderId="0" xfId="0" applyFont="1" applyFill="1" applyAlignment="1">
      <alignment horizontal="center" vertical="center"/>
    </xf>
    <xf numFmtId="0" fontId="0" fillId="0" borderId="0" xfId="0" applyNumberFormat="1"/>
    <xf numFmtId="0"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53440</c:v>
                </c:pt>
                <c:pt idx="1">
                  <c:v>56208.178438661707</c:v>
                </c:pt>
              </c:numCache>
            </c:numRef>
          </c:val>
          <c:extLst>
            <c:ext xmlns:c16="http://schemas.microsoft.com/office/drawing/2014/chart" uri="{C3380CC4-5D6E-409C-BE32-E72D297353CC}">
              <c16:uniqueId val="{00000000-5847-4BD0-9DDB-09995DCA976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34B5-4DF7-BC5A-4526FEA15A1C}"/>
            </c:ext>
          </c:extLst>
        </c:ser>
        <c:dLbls>
          <c:showLegendKey val="0"/>
          <c:showVal val="0"/>
          <c:showCatName val="0"/>
          <c:showSerName val="0"/>
          <c:showPercent val="0"/>
          <c:showBubbleSize val="0"/>
        </c:dLbls>
        <c:gapWidth val="219"/>
        <c:overlap val="-27"/>
        <c:axId val="2015361440"/>
        <c:axId val="1866158880"/>
      </c:barChart>
      <c:catAx>
        <c:axId val="201536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58880"/>
        <c:crosses val="autoZero"/>
        <c:auto val="1"/>
        <c:lblAlgn val="ctr"/>
        <c:lblOffset val="100"/>
        <c:noMultiLvlLbl val="0"/>
      </c:catAx>
      <c:valAx>
        <c:axId val="186615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6"/>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9B-45FC-86A8-F253ECD10B43}"/>
            </c:ext>
          </c:extLst>
        </c:ser>
        <c:ser>
          <c:idx val="1"/>
          <c:order val="1"/>
          <c:tx>
            <c:strRef>
              <c:f>'Pivot Table'!$C$19:$C$20</c:f>
              <c:strCache>
                <c:ptCount val="1"/>
                <c:pt idx="0">
                  <c:v>Yes</c:v>
                </c:pt>
              </c:strCache>
            </c:strRef>
          </c:tx>
          <c:spPr>
            <a:ln w="28575" cap="rnd">
              <a:solidFill>
                <a:schemeClr val="accent5"/>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9B-45FC-86A8-F253ECD10B43}"/>
            </c:ext>
          </c:extLst>
        </c:ser>
        <c:dLbls>
          <c:showLegendKey val="0"/>
          <c:showVal val="0"/>
          <c:showCatName val="0"/>
          <c:showSerName val="0"/>
          <c:showPercent val="0"/>
          <c:showBubbleSize val="0"/>
        </c:dLbls>
        <c:smooth val="0"/>
        <c:axId val="2030038720"/>
        <c:axId val="1813212832"/>
      </c:lineChart>
      <c:catAx>
        <c:axId val="2030038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12832"/>
        <c:crosses val="autoZero"/>
        <c:auto val="1"/>
        <c:lblAlgn val="ctr"/>
        <c:lblOffset val="100"/>
        <c:noMultiLvlLbl val="0"/>
      </c:catAx>
      <c:valAx>
        <c:axId val="181321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3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Middle Age</c:v>
                </c:pt>
                <c:pt idx="1">
                  <c:v>Old</c:v>
                </c:pt>
                <c:pt idx="2">
                  <c:v>Young Adult</c:v>
                </c:pt>
              </c:strCache>
            </c:strRef>
          </c:cat>
          <c:val>
            <c:numRef>
              <c:f>'Pivot Table'!$B$37:$B$40</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B31E-46FC-BE92-51409EEA7A63}"/>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Middle Age</c:v>
                </c:pt>
                <c:pt idx="1">
                  <c:v>Old</c:v>
                </c:pt>
                <c:pt idx="2">
                  <c:v>Young Adult</c:v>
                </c:pt>
              </c:strCache>
            </c:strRef>
          </c:cat>
          <c:val>
            <c:numRef>
              <c:f>'Pivot Table'!$C$37:$C$40</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B31E-46FC-BE92-51409EEA7A63}"/>
            </c:ext>
          </c:extLst>
        </c:ser>
        <c:dLbls>
          <c:showLegendKey val="0"/>
          <c:showVal val="0"/>
          <c:showCatName val="0"/>
          <c:showSerName val="0"/>
          <c:showPercent val="0"/>
          <c:showBubbleSize val="0"/>
        </c:dLbls>
        <c:marker val="1"/>
        <c:smooth val="0"/>
        <c:axId val="91596384"/>
        <c:axId val="1866221280"/>
      </c:lineChart>
      <c:catAx>
        <c:axId val="9159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21280"/>
        <c:crosses val="autoZero"/>
        <c:auto val="1"/>
        <c:lblAlgn val="ctr"/>
        <c:lblOffset val="100"/>
        <c:noMultiLvlLbl val="0"/>
      </c:catAx>
      <c:valAx>
        <c:axId val="186622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53440</c:v>
                </c:pt>
                <c:pt idx="1">
                  <c:v>56208.178438661707</c:v>
                </c:pt>
              </c:numCache>
            </c:numRef>
          </c:val>
          <c:extLst>
            <c:ext xmlns:c16="http://schemas.microsoft.com/office/drawing/2014/chart" uri="{C3380CC4-5D6E-409C-BE32-E72D297353CC}">
              <c16:uniqueId val="{00000000-FCF3-4DA5-9FCC-C32885DC355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C22E-4564-9AA9-A96BBA311BE7}"/>
            </c:ext>
          </c:extLst>
        </c:ser>
        <c:dLbls>
          <c:showLegendKey val="0"/>
          <c:showVal val="0"/>
          <c:showCatName val="0"/>
          <c:showSerName val="0"/>
          <c:showPercent val="0"/>
          <c:showBubbleSize val="0"/>
        </c:dLbls>
        <c:gapWidth val="219"/>
        <c:overlap val="-27"/>
        <c:axId val="2015361440"/>
        <c:axId val="1866158880"/>
      </c:barChart>
      <c:catAx>
        <c:axId val="2015361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58880"/>
        <c:crosses val="autoZero"/>
        <c:auto val="1"/>
        <c:lblAlgn val="ctr"/>
        <c:lblOffset val="100"/>
        <c:noMultiLvlLbl val="0"/>
      </c:catAx>
      <c:valAx>
        <c:axId val="186615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A0-4875-A9C1-152F1483EFD3}"/>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A0-4875-A9C1-152F1483EFD3}"/>
            </c:ext>
          </c:extLst>
        </c:ser>
        <c:dLbls>
          <c:showLegendKey val="0"/>
          <c:showVal val="0"/>
          <c:showCatName val="0"/>
          <c:showSerName val="0"/>
          <c:showPercent val="0"/>
          <c:showBubbleSize val="0"/>
        </c:dLbls>
        <c:marker val="1"/>
        <c:smooth val="0"/>
        <c:axId val="2030038720"/>
        <c:axId val="1813212832"/>
      </c:lineChart>
      <c:catAx>
        <c:axId val="20300387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3212832"/>
        <c:crosses val="autoZero"/>
        <c:auto val="1"/>
        <c:lblAlgn val="ctr"/>
        <c:lblOffset val="100"/>
        <c:noMultiLvlLbl val="0"/>
      </c:catAx>
      <c:valAx>
        <c:axId val="18132128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003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Middle Age</c:v>
                </c:pt>
                <c:pt idx="1">
                  <c:v>Old</c:v>
                </c:pt>
                <c:pt idx="2">
                  <c:v>Young Adult</c:v>
                </c:pt>
              </c:strCache>
            </c:strRef>
          </c:cat>
          <c:val>
            <c:numRef>
              <c:f>'Pivot Table'!$B$37:$B$40</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40E6-4BA2-9B3E-83F10C49B17F}"/>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Middle Age</c:v>
                </c:pt>
                <c:pt idx="1">
                  <c:v>Old</c:v>
                </c:pt>
                <c:pt idx="2">
                  <c:v>Young Adult</c:v>
                </c:pt>
              </c:strCache>
            </c:strRef>
          </c:cat>
          <c:val>
            <c:numRef>
              <c:f>'Pivot Table'!$C$37:$C$40</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40E6-4BA2-9B3E-83F10C49B17F}"/>
            </c:ext>
          </c:extLst>
        </c:ser>
        <c:dLbls>
          <c:showLegendKey val="0"/>
          <c:showVal val="0"/>
          <c:showCatName val="0"/>
          <c:showSerName val="0"/>
          <c:showPercent val="0"/>
          <c:showBubbleSize val="0"/>
        </c:dLbls>
        <c:marker val="1"/>
        <c:smooth val="0"/>
        <c:axId val="91596384"/>
        <c:axId val="1866221280"/>
      </c:lineChart>
      <c:catAx>
        <c:axId val="9159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21280"/>
        <c:crosses val="autoZero"/>
        <c:auto val="1"/>
        <c:lblAlgn val="ctr"/>
        <c:lblOffset val="100"/>
        <c:noMultiLvlLbl val="0"/>
      </c:catAx>
      <c:valAx>
        <c:axId val="186622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120656</xdr:colOff>
      <xdr:row>0</xdr:row>
      <xdr:rowOff>12700</xdr:rowOff>
    </xdr:from>
    <xdr:to>
      <xdr:col>11</xdr:col>
      <xdr:colOff>425456</xdr:colOff>
      <xdr:row>14</xdr:row>
      <xdr:rowOff>177800</xdr:rowOff>
    </xdr:to>
    <xdr:graphicFrame macro="">
      <xdr:nvGraphicFramePr>
        <xdr:cNvPr id="2" name="Chart 1">
          <a:extLst>
            <a:ext uri="{FF2B5EF4-FFF2-40B4-BE49-F238E27FC236}">
              <a16:creationId xmlns:a16="http://schemas.microsoft.com/office/drawing/2014/main" id="{8C33BBF1-677B-8A6C-CDB4-C37A5522D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155575</xdr:colOff>
      <xdr:row>18</xdr:row>
      <xdr:rowOff>22225</xdr:rowOff>
    </xdr:from>
    <xdr:to>
      <xdr:col>11</xdr:col>
      <xdr:colOff>460375</xdr:colOff>
      <xdr:row>33</xdr:row>
      <xdr:rowOff>3175</xdr:rowOff>
    </xdr:to>
    <xdr:graphicFrame macro="">
      <xdr:nvGraphicFramePr>
        <xdr:cNvPr id="3" name="Chart 2">
          <a:extLst>
            <a:ext uri="{FF2B5EF4-FFF2-40B4-BE49-F238E27FC236}">
              <a16:creationId xmlns:a16="http://schemas.microsoft.com/office/drawing/2014/main" id="{A3A82AB7-0D6A-BFFF-AA3D-CAD5F4F79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149225</xdr:colOff>
      <xdr:row>33</xdr:row>
      <xdr:rowOff>130175</xdr:rowOff>
    </xdr:from>
    <xdr:to>
      <xdr:col>11</xdr:col>
      <xdr:colOff>314325</xdr:colOff>
      <xdr:row>48</xdr:row>
      <xdr:rowOff>111125</xdr:rowOff>
    </xdr:to>
    <xdr:graphicFrame macro="">
      <xdr:nvGraphicFramePr>
        <xdr:cNvPr id="4" name="Chart 3">
          <a:extLst>
            <a:ext uri="{FF2B5EF4-FFF2-40B4-BE49-F238E27FC236}">
              <a16:creationId xmlns:a16="http://schemas.microsoft.com/office/drawing/2014/main" id="{EF42100F-A3A0-6D28-D9E9-9937DE061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4</xdr:row>
      <xdr:rowOff>25400</xdr:rowOff>
    </xdr:from>
    <xdr:to>
      <xdr:col>7</xdr:col>
      <xdr:colOff>215900</xdr:colOff>
      <xdr:row>17</xdr:row>
      <xdr:rowOff>19050</xdr:rowOff>
    </xdr:to>
    <xdr:graphicFrame macro="">
      <xdr:nvGraphicFramePr>
        <xdr:cNvPr id="2" name="Chart 1">
          <a:extLst>
            <a:ext uri="{FF2B5EF4-FFF2-40B4-BE49-F238E27FC236}">
              <a16:creationId xmlns:a16="http://schemas.microsoft.com/office/drawing/2014/main" id="{4EE08283-0FB8-4747-82DA-ACF5A7FCF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260350</xdr:colOff>
      <xdr:row>17</xdr:row>
      <xdr:rowOff>25400</xdr:rowOff>
    </xdr:from>
    <xdr:to>
      <xdr:col>13</xdr:col>
      <xdr:colOff>44450</xdr:colOff>
      <xdr:row>32</xdr:row>
      <xdr:rowOff>69850</xdr:rowOff>
    </xdr:to>
    <xdr:graphicFrame macro="">
      <xdr:nvGraphicFramePr>
        <xdr:cNvPr id="3" name="Chart 2">
          <a:extLst>
            <a:ext uri="{FF2B5EF4-FFF2-40B4-BE49-F238E27FC236}">
              <a16:creationId xmlns:a16="http://schemas.microsoft.com/office/drawing/2014/main" id="{94EC21EF-1052-4210-8895-F00B0FEFA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4</xdr:row>
      <xdr:rowOff>31750</xdr:rowOff>
    </xdr:from>
    <xdr:to>
      <xdr:col>13</xdr:col>
      <xdr:colOff>31750</xdr:colOff>
      <xdr:row>17</xdr:row>
      <xdr:rowOff>6350</xdr:rowOff>
    </xdr:to>
    <xdr:graphicFrame macro="">
      <xdr:nvGraphicFramePr>
        <xdr:cNvPr id="4" name="Chart 3">
          <a:extLst>
            <a:ext uri="{FF2B5EF4-FFF2-40B4-BE49-F238E27FC236}">
              <a16:creationId xmlns:a16="http://schemas.microsoft.com/office/drawing/2014/main" id="{1FE967FE-566F-4279-8BC9-F18F4113E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76200</xdr:rowOff>
    </xdr:from>
    <xdr:to>
      <xdr:col>2</xdr:col>
      <xdr:colOff>273050</xdr:colOff>
      <xdr:row>10</xdr:row>
      <xdr:rowOff>63501</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AE79FD1F-47AE-4F15-DB23-EEE7BBDAE4C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12800"/>
              <a:ext cx="1492250" cy="10922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114301</xdr:rowOff>
    </xdr:from>
    <xdr:to>
      <xdr:col>2</xdr:col>
      <xdr:colOff>266700</xdr:colOff>
      <xdr:row>20</xdr:row>
      <xdr:rowOff>6351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25364A8B-7090-5260-F6DF-0F57705BC7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955801"/>
              <a:ext cx="1485900" cy="173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57151</xdr:rowOff>
    </xdr:from>
    <xdr:to>
      <xdr:col>2</xdr:col>
      <xdr:colOff>279400</xdr:colOff>
      <xdr:row>27</xdr:row>
      <xdr:rowOff>6351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BD09BB9-2D12-37AF-1513-4B1A80C94D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40151"/>
              <a:ext cx="1498600"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af youssra" refreshedDate="46312.337183796299" createdVersion="8" refreshedVersion="8" minRefreshableVersion="3" recordCount="1000" xr:uid="{4A01875B-45DD-49FE-BFF6-6D2A087F17F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s v="Young Adult"/>
        <s v="Adolescent"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695251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FE7D2-687A-4AF4-A0AB-2E8FE9DFA8B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3">
    <format dxfId="39">
      <pivotArea outline="0" collapsedLevelsAreSubtotals="1" fieldPosition="0"/>
    </format>
    <format dxfId="40">
      <pivotArea field="13" type="button" dataOnly="0" labelOnly="1" outline="0" axis="axisCol" fieldPosition="0"/>
    </format>
    <format dxfId="41">
      <pivotArea type="topRight" dataOnly="0" labelOnly="1" outline="0" fieldPosition="0"/>
    </format>
    <format dxfId="42">
      <pivotArea dataOnly="0" labelOnly="1" fieldPosition="0">
        <references count="1">
          <reference field="13" count="0"/>
        </references>
      </pivotArea>
    </format>
    <format dxfId="43">
      <pivotArea dataOnly="0" labelOnly="1" grandCol="1" outline="0" fieldPosition="0"/>
    </format>
    <format dxfId="44">
      <pivotArea collapsedLevelsAreSubtotals="1" fieldPosition="0">
        <references count="2">
          <reference field="2" count="0"/>
          <reference field="13" count="1" selected="0">
            <x v="1"/>
          </reference>
        </references>
      </pivotArea>
    </format>
    <format dxfId="45">
      <pivotArea field="2" grandCol="1" collapsedLevelsAreSubtotals="1" axis="axisRow" fieldPosition="0">
        <references count="1">
          <reference field="2" count="0"/>
        </references>
      </pivotArea>
    </format>
    <format dxfId="46">
      <pivotArea collapsedLevelsAreSubtotals="1" fieldPosition="0">
        <references count="2">
          <reference field="2" count="1">
            <x v="0"/>
          </reference>
          <reference field="13" count="1" selected="0">
            <x v="1"/>
          </reference>
        </references>
      </pivotArea>
    </format>
    <format dxfId="47">
      <pivotArea field="2" grandCol="1" collapsedLevelsAreSubtotals="1" axis="axisRow" fieldPosition="0">
        <references count="1">
          <reference field="2" count="1">
            <x v="0"/>
          </reference>
        </references>
      </pivotArea>
    </format>
    <format dxfId="48">
      <pivotArea collapsedLevelsAreSubtotals="1" fieldPosition="0">
        <references count="2">
          <reference field="2" count="1">
            <x v="1"/>
          </reference>
          <reference field="13" count="1" selected="0">
            <x v="1"/>
          </reference>
        </references>
      </pivotArea>
    </format>
    <format dxfId="49">
      <pivotArea field="2" grandCol="1" collapsedLevelsAreSubtotals="1" axis="axisRow" fieldPosition="0">
        <references count="1">
          <reference field="2" count="1">
            <x v="1"/>
          </reference>
        </references>
      </pivotArea>
    </format>
    <format dxfId="50">
      <pivotArea field="13" grandRow="1" outline="0" collapsedLevelsAreSubtotals="1" axis="axisCol" fieldPosition="0">
        <references count="1">
          <reference field="13" count="0" selected="0"/>
        </references>
      </pivotArea>
    </format>
    <format dxfId="51">
      <pivotArea collapsedLevelsAreSubtotals="1" fieldPosition="0">
        <references count="2">
          <reference field="2" count="1">
            <x v="1"/>
          </reference>
          <reference field="13" count="1" selected="0">
            <x v="0"/>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09D25-4B87-427A-9BD6-1BCC7939317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m="1" x="3"/>
        <item m="1" x="4"/>
        <item x="0"/>
        <item x="1"/>
        <item x="2"/>
        <item t="default"/>
      </items>
    </pivotField>
    <pivotField axis="axisCol" dataField="1" showAll="0">
      <items count="3">
        <item x="0"/>
        <item x="1"/>
        <item t="default"/>
      </items>
    </pivotField>
  </pivotFields>
  <rowFields count="1">
    <field x="12"/>
  </rowFields>
  <rowItems count="4">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B3DC4-4A8A-4DC6-9CD9-9FAF792E60B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1D3614D-93CA-47B2-8E07-AAA93086E652}" sourceName="Marital Status">
  <pivotTables>
    <pivotTable tabId="3" name="PivotTable1"/>
    <pivotTable tabId="3" name="PivotTable2"/>
    <pivotTable tabId="3" name="PivotTable3"/>
  </pivotTables>
  <data>
    <tabular pivotCacheId="16952511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A547B6-6979-4C8F-9378-7BCA31980F48}" sourceName="Education">
  <pivotTables>
    <pivotTable tabId="3" name="PivotTable1"/>
    <pivotTable tabId="3" name="PivotTable2"/>
    <pivotTable tabId="3" name="PivotTable3"/>
  </pivotTables>
  <data>
    <tabular pivotCacheId="16952511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536C7C-95BB-41F9-B990-328B4BFC7568}" sourceName="Region">
  <pivotTables>
    <pivotTable tabId="3" name="PivotTable1"/>
    <pivotTable tabId="3" name="PivotTable2"/>
    <pivotTable tabId="3" name="PivotTable3"/>
  </pivotTables>
  <data>
    <tabular pivotCacheId="16952511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579CDA5-9430-4B06-910A-0D397CB5C380}" cache="Slicer_Marital_Status" caption="Marital Status" rowHeight="241300"/>
  <slicer name="Education" xr10:uid="{DE3E5A48-B328-4E80-908D-F13B9C46471D}" cache="Slicer_Education" caption="Education" rowHeight="241300"/>
  <slicer name="Region" xr10:uid="{91D8F913-F3F8-4013-9394-D22C3E0167C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A726-9CC1-4FE0-8391-2FFCBD116E86}">
  <dimension ref="A1:N1001"/>
  <sheetViews>
    <sheetView workbookViewId="0">
      <selection activeCell="D1" sqref="D1:D1048576"/>
    </sheetView>
  </sheetViews>
  <sheetFormatPr defaultColWidth="22.36328125" defaultRowHeight="14.5" x14ac:dyDescent="0.35"/>
  <cols>
    <col min="4" max="4" width="22.36328125"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Age",IF(L2&lt;31,"Young Adult","Invalid")))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Age",IF(L3&lt;31,"Young Adult","Invalid")))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Young Adult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Young Adult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Young Adult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Young Adult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Young Adult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Age",IF(L67&lt;31,"Young Adult","Invalid")))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Young Adult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Young Adult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Young Adult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Young Adult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Young Adult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Young Adult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Young Adult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Young Adult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Young Adult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Young Adult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Young Adult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Young Adult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Young Adult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Age",IF(L131&lt;31,"Young Adult","Invalid")))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Young Adult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Young Adult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Young Adult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Young Adult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Young Adult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Young Adult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Age",IF(L195&lt;31,"Young Adult","Invalid")))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Young Adult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Young Adult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Young Adult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Young Adult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Young Adult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Young Adult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Young Adult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Young Adult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Young Adult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Young Adult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Age",IF(L259&lt;31,"Young Adult","Invalid")))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Young Adult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Young Adult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Young Adult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Young Adult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Age",IF(L323&lt;31,"Young Adult","Invalid")))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Young Adult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Young Adult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Young Adult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Young Adult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Young Adult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Young Adult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Young Adult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Young Adult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Young Adult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Young Adult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Age",IF(L387&lt;31,"Young Adult","Invalid")))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Young Adult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Young Adult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Young Adult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Young Adult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Age",IF(L451&lt;31,"Young Adult","Invalid")))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Young Adult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Young Adult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Young Adult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Age",IF(L515&lt;31,"Young Adult","Invalid")))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Young Adult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Young Adult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Young Adult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Young Adult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Young Adult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Young Adult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Young Adult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Young Adult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Age",IF(L579&lt;31,"Young Adult","Invalid")))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Young Adult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Young Adult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Young Adult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Young Adult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Young Adult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Young Adult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Young Adult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Young Adult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Age",IF(L643&lt;31,"Young Adult","Invalid")))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Young Adult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Young Adult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Young Adult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Young Adult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Young Adult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Young Adult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Young Adult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Young Adult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Age",IF(L707&lt;31,"Young Adult","Invalid")))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Young Adult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Young Adult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Young Adult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Young Adult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Young Adult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Young Adult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Young Adult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Age",IF(L771&lt;31,"Young Adult","Invalid")))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Young Adult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Young Adult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Young Adult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Young Adult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Young Adult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Young Adult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Young Adult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Young Adult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Young Adult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Young Adult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Young Adult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Young Adult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Age",IF(L835&lt;31,"Young Adult","Invalid")))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Young Adult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Young Adult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Young Adult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Young Adult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Age",IF(L899&lt;31,"Young Adult","Invalid")))</f>
        <v>Young Adult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Young Adult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Young Adult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Young Adult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Young Adult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Young Adult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Age",IF(L963&lt;31,"Young Adult","Invalid")))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Young Adult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Young Adult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B7FA726-9CC1-4FE0-8391-2FFCBD116E8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6DB2-5504-411F-8DD6-000083038BD1}">
  <dimension ref="A1:D40"/>
  <sheetViews>
    <sheetView tabSelected="1" topLeftCell="A22" workbookViewId="0">
      <selection activeCell="B3" sqref="B3"/>
    </sheetView>
  </sheetViews>
  <sheetFormatPr defaultRowHeight="14.5" x14ac:dyDescent="0.35"/>
  <cols>
    <col min="1" max="1" width="21.54296875" bestFit="1" customWidth="1"/>
    <col min="2" max="2" width="15.26953125" customWidth="1"/>
    <col min="3" max="3" width="7.90625" customWidth="1"/>
    <col min="4" max="5" width="10.7265625" bestFit="1" customWidth="1"/>
  </cols>
  <sheetData>
    <row r="1" spans="1:4" x14ac:dyDescent="0.35">
      <c r="A1" s="4" t="s">
        <v>43</v>
      </c>
      <c r="B1" s="12" t="s">
        <v>44</v>
      </c>
      <c r="C1" s="11"/>
      <c r="D1" s="11"/>
    </row>
    <row r="2" spans="1:4" x14ac:dyDescent="0.35">
      <c r="A2" s="4" t="s">
        <v>41</v>
      </c>
      <c r="B2" s="11" t="s">
        <v>18</v>
      </c>
      <c r="C2" s="11" t="s">
        <v>15</v>
      </c>
      <c r="D2" s="11" t="s">
        <v>42</v>
      </c>
    </row>
    <row r="3" spans="1:4" x14ac:dyDescent="0.35">
      <c r="A3" s="5" t="s">
        <v>38</v>
      </c>
      <c r="B3" s="11">
        <v>53440</v>
      </c>
      <c r="C3" s="6">
        <v>55774.058577405856</v>
      </c>
      <c r="D3" s="6">
        <v>54580.777096114522</v>
      </c>
    </row>
    <row r="4" spans="1:4" x14ac:dyDescent="0.35">
      <c r="A4" s="5" t="s">
        <v>39</v>
      </c>
      <c r="B4" s="6">
        <v>56208.178438661707</v>
      </c>
      <c r="C4" s="6">
        <v>60123.966942148763</v>
      </c>
      <c r="D4" s="6">
        <v>58062.62230919765</v>
      </c>
    </row>
    <row r="5" spans="1:4" x14ac:dyDescent="0.35">
      <c r="A5" s="5" t="s">
        <v>42</v>
      </c>
      <c r="B5" s="6">
        <v>54874.759152215796</v>
      </c>
      <c r="C5" s="6">
        <v>57962.577962577961</v>
      </c>
      <c r="D5" s="11">
        <v>56360</v>
      </c>
    </row>
    <row r="19" spans="1:4" x14ac:dyDescent="0.35">
      <c r="A19" s="4" t="s">
        <v>45</v>
      </c>
      <c r="B19" s="4" t="s">
        <v>44</v>
      </c>
    </row>
    <row r="20" spans="1:4" x14ac:dyDescent="0.35">
      <c r="A20" s="4" t="s">
        <v>41</v>
      </c>
      <c r="B20" t="s">
        <v>18</v>
      </c>
      <c r="C20" t="s">
        <v>15</v>
      </c>
      <c r="D20" t="s">
        <v>42</v>
      </c>
    </row>
    <row r="21" spans="1:4" x14ac:dyDescent="0.35">
      <c r="A21" s="5" t="s">
        <v>16</v>
      </c>
      <c r="B21" s="11">
        <v>166</v>
      </c>
      <c r="C21" s="11">
        <v>200</v>
      </c>
      <c r="D21" s="11">
        <v>366</v>
      </c>
    </row>
    <row r="22" spans="1:4" x14ac:dyDescent="0.35">
      <c r="A22" s="5" t="s">
        <v>26</v>
      </c>
      <c r="B22" s="11">
        <v>92</v>
      </c>
      <c r="C22" s="11">
        <v>77</v>
      </c>
      <c r="D22" s="11">
        <v>169</v>
      </c>
    </row>
    <row r="23" spans="1:4" x14ac:dyDescent="0.35">
      <c r="A23" s="5" t="s">
        <v>22</v>
      </c>
      <c r="B23" s="11">
        <v>67</v>
      </c>
      <c r="C23" s="11">
        <v>95</v>
      </c>
      <c r="D23" s="11">
        <v>162</v>
      </c>
    </row>
    <row r="24" spans="1:4" x14ac:dyDescent="0.35">
      <c r="A24" s="5" t="s">
        <v>23</v>
      </c>
      <c r="B24" s="11">
        <v>116</v>
      </c>
      <c r="C24" s="11">
        <v>76</v>
      </c>
      <c r="D24" s="11">
        <v>192</v>
      </c>
    </row>
    <row r="25" spans="1:4" x14ac:dyDescent="0.35">
      <c r="A25" s="5" t="s">
        <v>46</v>
      </c>
      <c r="B25" s="11">
        <v>78</v>
      </c>
      <c r="C25" s="11">
        <v>33</v>
      </c>
      <c r="D25" s="11">
        <v>111</v>
      </c>
    </row>
    <row r="26" spans="1:4" x14ac:dyDescent="0.35">
      <c r="A26" s="5" t="s">
        <v>42</v>
      </c>
      <c r="B26" s="11">
        <v>519</v>
      </c>
      <c r="C26" s="11">
        <v>481</v>
      </c>
      <c r="D26" s="11">
        <v>1000</v>
      </c>
    </row>
    <row r="35" spans="1:4" x14ac:dyDescent="0.35">
      <c r="A35" s="4" t="s">
        <v>45</v>
      </c>
      <c r="B35" s="4" t="s">
        <v>44</v>
      </c>
    </row>
    <row r="36" spans="1:4" x14ac:dyDescent="0.35">
      <c r="A36" s="4" t="s">
        <v>41</v>
      </c>
      <c r="B36" t="s">
        <v>18</v>
      </c>
      <c r="C36" t="s">
        <v>15</v>
      </c>
      <c r="D36" t="s">
        <v>42</v>
      </c>
    </row>
    <row r="37" spans="1:4" x14ac:dyDescent="0.35">
      <c r="A37" s="5" t="s">
        <v>47</v>
      </c>
      <c r="B37" s="11">
        <v>318</v>
      </c>
      <c r="C37" s="11">
        <v>383</v>
      </c>
      <c r="D37" s="11">
        <v>701</v>
      </c>
    </row>
    <row r="38" spans="1:4" x14ac:dyDescent="0.35">
      <c r="A38" s="5" t="s">
        <v>48</v>
      </c>
      <c r="B38" s="11">
        <v>130</v>
      </c>
      <c r="C38" s="11">
        <v>59</v>
      </c>
      <c r="D38" s="11">
        <v>189</v>
      </c>
    </row>
    <row r="39" spans="1:4" x14ac:dyDescent="0.35">
      <c r="A39" s="5" t="s">
        <v>50</v>
      </c>
      <c r="B39" s="11">
        <v>71</v>
      </c>
      <c r="C39" s="11">
        <v>39</v>
      </c>
      <c r="D39" s="11">
        <v>110</v>
      </c>
    </row>
    <row r="40" spans="1:4" x14ac:dyDescent="0.35">
      <c r="A40" s="5" t="s">
        <v>42</v>
      </c>
      <c r="B40" s="11">
        <v>519</v>
      </c>
      <c r="C40" s="11">
        <v>481</v>
      </c>
      <c r="D40"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1EEB-6C1E-4BE5-B946-B981BA22ACF3}">
  <dimension ref="A1:N11"/>
  <sheetViews>
    <sheetView showGridLines="0" workbookViewId="0">
      <selection activeCell="P23" sqref="P23"/>
    </sheetView>
  </sheetViews>
  <sheetFormatPr defaultRowHeight="14.5" x14ac:dyDescent="0.35"/>
  <cols>
    <col min="8" max="8" width="8.81640625" customWidth="1"/>
  </cols>
  <sheetData>
    <row r="1" spans="1:14" ht="14.5" customHeight="1" x14ac:dyDescent="0.35">
      <c r="A1" s="10" t="s">
        <v>49</v>
      </c>
      <c r="B1" s="10"/>
      <c r="C1" s="10"/>
      <c r="D1" s="10"/>
      <c r="E1" s="10"/>
      <c r="F1" s="10"/>
      <c r="G1" s="10"/>
      <c r="H1" s="10"/>
      <c r="I1" s="8"/>
      <c r="J1" s="8"/>
      <c r="K1" s="8"/>
      <c r="L1" s="8"/>
      <c r="M1" s="8"/>
      <c r="N1" s="9"/>
    </row>
    <row r="2" spans="1:14" ht="14.5" customHeight="1" x14ac:dyDescent="0.35">
      <c r="A2" s="10"/>
      <c r="B2" s="10"/>
      <c r="C2" s="10"/>
      <c r="D2" s="10"/>
      <c r="E2" s="10"/>
      <c r="F2" s="10"/>
      <c r="G2" s="10"/>
      <c r="H2" s="10"/>
      <c r="I2" s="8"/>
      <c r="J2" s="8"/>
      <c r="K2" s="8"/>
      <c r="L2" s="8"/>
      <c r="M2" s="8"/>
      <c r="N2" s="9"/>
    </row>
    <row r="3" spans="1:14" ht="14.5" customHeight="1" x14ac:dyDescent="0.35">
      <c r="A3" s="10"/>
      <c r="B3" s="10"/>
      <c r="C3" s="10"/>
      <c r="D3" s="10"/>
      <c r="E3" s="10"/>
      <c r="F3" s="10"/>
      <c r="G3" s="10"/>
      <c r="H3" s="10"/>
      <c r="I3" s="8"/>
      <c r="J3" s="8"/>
      <c r="K3" s="8"/>
      <c r="L3" s="8"/>
      <c r="M3" s="8"/>
      <c r="N3" s="9"/>
    </row>
    <row r="4" spans="1:14" ht="14.5" customHeight="1" x14ac:dyDescent="0.35">
      <c r="A4" s="10"/>
      <c r="B4" s="10"/>
      <c r="C4" s="10"/>
      <c r="D4" s="10"/>
      <c r="E4" s="10"/>
      <c r="F4" s="10"/>
      <c r="G4" s="10"/>
      <c r="H4" s="10"/>
      <c r="I4" s="8"/>
      <c r="J4" s="8"/>
      <c r="K4" s="8"/>
      <c r="L4" s="8"/>
      <c r="M4" s="8"/>
      <c r="N4" s="9"/>
    </row>
    <row r="11" spans="1:14" x14ac:dyDescent="0.35">
      <c r="M11" s="7"/>
    </row>
  </sheetData>
  <mergeCells count="1">
    <mergeCell ref="A1: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azaf youssra</dc:creator>
  <cp:lastModifiedBy>azaf youssra</cp:lastModifiedBy>
  <dcterms:created xsi:type="dcterms:W3CDTF">2022-03-18T02:50:57Z</dcterms:created>
  <dcterms:modified xsi:type="dcterms:W3CDTF">2026-10-17T07:06:35Z</dcterms:modified>
</cp:coreProperties>
</file>